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che\Downloads\"/>
    </mc:Choice>
  </mc:AlternateContent>
  <xr:revisionPtr revIDLastSave="0" documentId="13_ncr:1_{9041E4CC-2E30-4FB2-9597-655BB7AA87A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os extraidos" sheetId="1" r:id="rId1"/>
    <sheet name="Resumen por peso" sheetId="2" r:id="rId2"/>
    <sheet name="Notas" sheetId="3" r:id="rId3"/>
    <sheet name="Estimacion 50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2" l="1"/>
  <c r="M7" i="2"/>
  <c r="N6" i="2"/>
  <c r="M6" i="2"/>
  <c r="N5" i="2"/>
  <c r="M5" i="2"/>
  <c r="N4" i="2"/>
  <c r="M4" i="2"/>
  <c r="N3" i="2"/>
  <c r="M3" i="2"/>
  <c r="N2" i="2"/>
  <c r="M2" i="2"/>
</calcChain>
</file>

<file path=xl/sharedStrings.xml><?xml version="1.0" encoding="utf-8"?>
<sst xmlns="http://schemas.openxmlformats.org/spreadsheetml/2006/main" count="164" uniqueCount="111">
  <si>
    <t>lombrices_agregadas_g</t>
  </si>
  <si>
    <t>replica</t>
  </si>
  <si>
    <t>peso_cama_5cm_g</t>
  </si>
  <si>
    <t>peso_cama_10cm_g</t>
  </si>
  <si>
    <t>peso_lombrices_inyectadas_g</t>
  </si>
  <si>
    <t>trama_id</t>
  </si>
  <si>
    <t>estado</t>
  </si>
  <si>
    <t>humedad_pct</t>
  </si>
  <si>
    <t>temperatura_c</t>
  </si>
  <si>
    <t>uv_intensity</t>
  </si>
  <si>
    <t>conductividad_us_cm</t>
  </si>
  <si>
    <t>ph</t>
  </si>
  <si>
    <t>nitrogeno_mg_kg</t>
  </si>
  <si>
    <t>fosforo_mg_kg</t>
  </si>
  <si>
    <t>potasio_mg_kg</t>
  </si>
  <si>
    <t>acel_x_g</t>
  </si>
  <si>
    <t>acel_y_g</t>
  </si>
  <si>
    <t>acel_z_g</t>
  </si>
  <si>
    <t>lluvia_binario</t>
  </si>
  <si>
    <t>salud</t>
  </si>
  <si>
    <t>trama_raw</t>
  </si>
  <si>
    <t>humedad_trama_pct</t>
  </si>
  <si>
    <t>temperatura_trama_c</t>
  </si>
  <si>
    <t>conductividad_trama_us_cm</t>
  </si>
  <si>
    <t>ph_trama</t>
  </si>
  <si>
    <t>nitrogeno_trama_mg_kg</t>
  </si>
  <si>
    <t>fosforo_trama_mg_kg</t>
  </si>
  <si>
    <t>potasio_trama_mg_kg</t>
  </si>
  <si>
    <t>ACEPTABLE</t>
  </si>
  <si>
    <t>TRAMA: 15996,1,0.61,0.00,4.00,33.81,ACEPTABLE,44.40,26.20,18.14,1489,5.70,272,675,672;</t>
  </si>
  <si>
    <t>TRAMA: 751607,1,0.63,0.06,4.00,33.88,ACEPTABLE,58.80,25.60,18.76,2040,6.10,387,941,940;</t>
  </si>
  <si>
    <t>TRAMA: 135698,1,0.68,359.88,4.00,33.94,ACEPTABLE,9.20,24.10,18.63,0,7.40,0,0,0;</t>
  </si>
  <si>
    <t>TRAMA: 9252,1,0.63,0.06,4.06,33.88,ACEPTABLE,67.60,25.80,18.38,3002,7.00,588,1405,1408;</t>
  </si>
  <si>
    <t>TRAMA: 3666,1,0.61,359.94,4.00,33.88,ACEPTABLE,60.40,26.20,18.26,3217,7.90,632,1508,1512;</t>
  </si>
  <si>
    <t>TRAMA: 3663,1,0.66,359.94,4.06,34.00,ACEPTABLE,80.20,24.80,18.13,3647,7.80,722,1716,1721;</t>
  </si>
  <si>
    <t>TRAMA: 14842,1,0.61,0.00,4.06,33.88,ACEPTABLE,84.20,26.20,18.01,3629,8.40,718,1707,1713;</t>
  </si>
  <si>
    <t>TRAMA: 1426,1,0.62,0.00,4.13,33.88,ACEPTABLE,64.60,25.90,16.65,2825,7.90,551,1319,1322;</t>
  </si>
  <si>
    <t>TRAMA: 3663,1,0.62,0.00,4.06,33.81,ACEPTABLE,69.40,26.00,17.77,3143,7.70,617,1473,1476;</t>
  </si>
  <si>
    <t>TRAMA: 2545,1,0.63,359.88,3.75,33.75,ACEPTABLE,68.10,25.70,18.02,2931,7.80,573,1370,1373;</t>
  </si>
  <si>
    <t>ATENCION</t>
  </si>
  <si>
    <t>TRAMA: 12613,1,0.57,359.81,3.88,33.69,ATENCION,93.70,27.60,17.89,4334,8.40,866,1999,1999;</t>
  </si>
  <si>
    <t>TRAMA: 8130,1,0.59,0.00,2.81,34.50,ATENCION,65.20,26.90,17.78,3475,7.60,686,1633,1638;</t>
  </si>
  <si>
    <t>TRAMA: 5911,1,0.60,359.94,2.75,34.44,ACEPTABLE,88.50,26.60,18.02,3659,8.50,725,1721,1727;</t>
  </si>
  <si>
    <t>TRAMA: 1427,1,0.59,0.00,2.75,34.50,ATENCION,95.00,26.90,16.54,5070,7.60,1019,1999,1999;</t>
  </si>
  <si>
    <t>TRAMA: 7031,1,0.59,359.88,2.75,34.69,ATENCION,94.00,27.00,17.89,5419,7.00,1092,1999,1999;</t>
  </si>
  <si>
    <t>TRAMA: 4783,1,0.60,0.00,2.69,34.75,ATENCION,95.10,26.80,17.53,5341,5.10,1076,1999,1999;</t>
  </si>
  <si>
    <t>TRAMA: 7032,1,0.58,359.94,1.00,34.25,ATENCION,100.00,27.40,17.54,6592,9.00,1337,1999,1999;</t>
  </si>
  <si>
    <t>TRAMA: 2545,1,0.59,359.88,1.00,34.19,ATENCION,95.10,27.00,17.91,4218,7.60,841,1991,1999;</t>
  </si>
  <si>
    <t>TRAMA: 5908,1,0.60,0.06,0.88,34.19,ATENCION,100.00,26.80,17.77,6592,8.80,1337,1999,1999;</t>
  </si>
  <si>
    <t>TRAMA: 3667,1,0.61,359.94,0.88,34.25,ACEPTABLE,100.00,26.50,17.54,6039,8.30,1221,1999,1999;</t>
  </si>
  <si>
    <t>TRAMA: 33897,1,0.58,0.06,0.88,34.31,ATENCION,100.00,27.40,17.54,6118,7.20,1238,1999,1999;</t>
  </si>
  <si>
    <t>TRAMA: 4779,1,0.59,0.00,0.94,33.94,ATENCION,91.60,26.90,17.54,3874,8.30,770,1825,1832;</t>
  </si>
  <si>
    <t>RAMA: 2545,1,0.57,359.94,0.88,34.13,ATENCION,100.00,27.70,17.67,7026,9.00,1427,1999,1999;</t>
  </si>
  <si>
    <t>TRAMA: 3665,1,0.61,359.94,0.88,34.13,ACEPTABLE,100.00,26.20,17.54,5961,8.50,1205,1999,1999;</t>
  </si>
  <si>
    <t>TRAMA: 3666,1,0.61,359.88,0.88,34.13,ACEPTABLE,100.00,26.50,17.66,5767,8.70,1165,1999,1999;</t>
  </si>
  <si>
    <t>n_lecturas</t>
  </si>
  <si>
    <t>humedad_prom_pct</t>
  </si>
  <si>
    <t>temperatura_prom_c</t>
  </si>
  <si>
    <t>conductividad_prom_us_cm</t>
  </si>
  <si>
    <t>ph_prom</t>
  </si>
  <si>
    <t>nitrogeno_prom_mg_kg</t>
  </si>
  <si>
    <t>fosforo_prom_mg_kg</t>
  </si>
  <si>
    <t>potasio_prom_mg_kg</t>
  </si>
  <si>
    <t>salud_prom</t>
  </si>
  <si>
    <t>delta_peso_5cm_vs_base_g</t>
  </si>
  <si>
    <t>delta_peso_10cm_vs_base_g</t>
  </si>
  <si>
    <t>Campo</t>
  </si>
  <si>
    <t>Descripción</t>
  </si>
  <si>
    <t>Unidad experimental</t>
  </si>
  <si>
    <t>Cama de lombrices con mediciones a 5 cm y 10 cm.</t>
  </si>
  <si>
    <t>Inyección de lombrices</t>
  </si>
  <si>
    <t>Se interpretó cada bloque 'experiment a X g' como peso acumulado/agregado de lombrices para ese bloque.</t>
  </si>
  <si>
    <t>Frecuencia de cambio</t>
  </si>
  <si>
    <t>La descripción indica aumento de 10 g cada 5 tomas. El archivo contiene 5 tomas para 10, 20, 30 y 40 g; 50 g contiene 4 tomas.</t>
  </si>
  <si>
    <t>Dato faltante</t>
  </si>
  <si>
    <t>En el bloque de 50 g no aparece peso de cama a 10 cm; se dejó vacío.</t>
  </si>
  <si>
    <t>Datos de sensores</t>
  </si>
  <si>
    <t>La tabla prioriza los valores de la sección 'LECTURA DE SUELO'. También conserva campos de la trama cruda para auditoría.</t>
  </si>
  <si>
    <t>Observación de calidad</t>
  </si>
  <si>
    <t>En algunas lecturas hay diferencias entre valores de la TRAMA y el detalle posterior; por eso se guardaron ambos grupos de variables.</t>
  </si>
  <si>
    <t>Estimación de la quinta toma faltante - bloque 50 g</t>
  </si>
  <si>
    <t>Criterio</t>
  </si>
  <si>
    <t>Valor estimado</t>
  </si>
  <si>
    <t>Unidad/nota</t>
  </si>
  <si>
    <t>Bloque estimado</t>
  </si>
  <si>
    <t>50 g de lombrices agregadas, réplica 5</t>
  </si>
  <si>
    <t>g</t>
  </si>
  <si>
    <t>Método principal</t>
  </si>
  <si>
    <t>Mediana robusta de las 4 lecturas observadas en el mismo bloque de 50 g</t>
  </si>
  <si>
    <t>Motivo</t>
  </si>
  <si>
    <t>La condición experimental es la misma y hay valores extremos en conductividad y nitrógeno; la mediana reduce el efecto de esos extremos.</t>
  </si>
  <si>
    <t>Peso a 5 cm</t>
  </si>
  <si>
    <t>Se conserva el peso medido del bloque 50 g: 1222 g</t>
  </si>
  <si>
    <t>g estimado</t>
  </si>
  <si>
    <t>Peso a 10 cm</t>
  </si>
  <si>
    <t>Estimado por tendencia de pesos de los bloques anteriores: aproximadamente 1610 g</t>
  </si>
  <si>
    <t>estimado</t>
  </si>
  <si>
    <t>Acelerómetro X</t>
  </si>
  <si>
    <t>Tratado como variable circular: 359.9° ≈ 0°. Se reporta 0.00 g como valor equivalente y estable.</t>
  </si>
  <si>
    <t>%</t>
  </si>
  <si>
    <t>Advertencia</t>
  </si>
  <si>
    <t>Esta fila es estimada; no reemplaza una lectura real del sensor.</t>
  </si>
  <si>
    <t>°C</t>
  </si>
  <si>
    <t>índice/lectura</t>
  </si>
  <si>
    <t>us/cm</t>
  </si>
  <si>
    <t>mg/kg</t>
  </si>
  <si>
    <t>g, equivalente circular a 359.9</t>
  </si>
  <si>
    <t>bin</t>
  </si>
  <si>
    <t>índice</t>
  </si>
  <si>
    <t>Trama: 50,1,0.59,0.00,0.88,34.13,ATENCION,100.00,26.90,17.60,5864,8.80,1185,1999,1999;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</si>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</sst>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1"/>
      <color rgb="FFFFFFFF"/>
      <name val="Carlito"/>
    </font>
    <font>
      <i/>
      <sz val="11"/>
      <name val="Carlito"/>
    </font>
    <font>
      <b/>
      <sz val="14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6D28D9"/>
      </patternFill>
    </fill>
    <fill>
      <patternFill patternType="solid">
        <fgColor rgb="FFFEF3C7"/>
      </patternFill>
    </fill>
    <fill>
      <patternFill patternType="solid">
        <fgColor rgb="FF0F766E"/>
      </patternFill>
    </fill>
    <fill>
      <patternFill patternType="solid">
        <fgColor rgb="FF155E75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0" xfId="0" applyNumberFormat="1"/>
    <xf numFmtId="2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2" fontId="2" fillId="5" borderId="0" xfId="0" applyNumberFormat="1" applyFont="1" applyFill="1"/>
    <xf numFmtId="0" fontId="1" fillId="7" borderId="0" xfId="0" applyFont="1" applyFill="1" applyAlignment="1">
      <alignment horizontal="center"/>
    </xf>
    <xf numFmtId="0" fontId="2" fillId="8" borderId="0" xfId="0" applyFont="1" applyFill="1" applyAlignment="1">
      <alignment wrapText="1"/>
    </xf>
    <xf numFmtId="2" fontId="2" fillId="8" borderId="0" xfId="0" applyNumberFormat="1" applyFont="1" applyFill="1" applyAlignment="1">
      <alignment wrapText="1"/>
    </xf>
    <xf numFmtId="0" fontId="3" fillId="6" borderId="0" xfId="0" applyFont="1" applyFill="1" applyAlignment="1">
      <alignment horizontal="center" vertical="center"/>
    </xf>
    <xf numFmtId="0" fontId="0" fillId="0" borderId="0" xfId="0"/>
    <xf numFmtId="2" fontId="0" fillId="8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Humedad promedio vs lombrices agregadas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285-4AB2-A399-B404FEEBC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Conductividad promedio vs lombrices agregadas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AC4-4F3D-B4E2-08F0DD04F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atosCamas" displayName="TablaDatosCamas" ref="A1:AC28">
  <tableColumns count="29">
    <tableColumn id="1" xr3:uid="{00000000-0010-0000-0000-000001000000}" name="lombrices_agregadas_g"/>
    <tableColumn id="2" xr3:uid="{00000000-0010-0000-0000-000002000000}" name="replica"/>
    <tableColumn id="3" xr3:uid="{00000000-0010-0000-0000-000003000000}" name="peso_cama_5cm_g"/>
    <tableColumn id="4" xr3:uid="{00000000-0010-0000-0000-000004000000}" name="peso_cama_10cm_g"/>
    <tableColumn id="5" xr3:uid="{00000000-0010-0000-0000-000005000000}" name="peso_lombrices_inyectadas_g"/>
    <tableColumn id="6" xr3:uid="{00000000-0010-0000-0000-000006000000}" name="trama_id"/>
    <tableColumn id="7" xr3:uid="{00000000-0010-0000-0000-000007000000}" name="estado"/>
    <tableColumn id="8" xr3:uid="{00000000-0010-0000-0000-000008000000}" name="humedad_pct"/>
    <tableColumn id="9" xr3:uid="{00000000-0010-0000-0000-000009000000}" name="temperatura_c"/>
    <tableColumn id="10" xr3:uid="{00000000-0010-0000-0000-00000A000000}" name="uv_intensity"/>
    <tableColumn id="11" xr3:uid="{00000000-0010-0000-0000-00000B000000}" name="conductividad_us_cm"/>
    <tableColumn id="12" xr3:uid="{00000000-0010-0000-0000-00000C000000}" name="ph"/>
    <tableColumn id="13" xr3:uid="{00000000-0010-0000-0000-00000D000000}" name="nitrogeno_mg_kg"/>
    <tableColumn id="14" xr3:uid="{00000000-0010-0000-0000-00000E000000}" name="fosforo_mg_kg"/>
    <tableColumn id="15" xr3:uid="{00000000-0010-0000-0000-00000F000000}" name="potasio_mg_kg"/>
    <tableColumn id="16" xr3:uid="{00000000-0010-0000-0000-000010000000}" name="acel_x_g"/>
    <tableColumn id="17" xr3:uid="{00000000-0010-0000-0000-000011000000}" name="acel_y_g"/>
    <tableColumn id="18" xr3:uid="{00000000-0010-0000-0000-000012000000}" name="acel_z_g"/>
    <tableColumn id="19" xr3:uid="{00000000-0010-0000-0000-000013000000}" name="lluvia_binario"/>
    <tableColumn id="20" xr3:uid="{00000000-0010-0000-0000-000014000000}" name="salud"/>
    <tableColumn id="21" xr3:uid="{00000000-0010-0000-0000-000015000000}" name="trama_raw"/>
    <tableColumn id="22" xr3:uid="{00000000-0010-0000-0000-000016000000}" name="humedad_trama_pct"/>
    <tableColumn id="23" xr3:uid="{00000000-0010-0000-0000-000017000000}" name="temperatura_trama_c"/>
    <tableColumn id="24" xr3:uid="{00000000-0010-0000-0000-000018000000}" name="conductividad_trama_us_cm"/>
    <tableColumn id="25" xr3:uid="{00000000-0010-0000-0000-000019000000}" name="ph_trama"/>
    <tableColumn id="26" xr3:uid="{00000000-0010-0000-0000-00001A000000}" name="nitrogeno_trama_mg_kg"/>
    <tableColumn id="27" xr3:uid="{00000000-0010-0000-0000-00001B000000}" name="fosforo_trama_mg_kg"/>
    <tableColumn id="28" xr3:uid="{00000000-0010-0000-0000-00001C000000}" name="potasio_trama_mg_kg"/>
    <tableColumn id="29" xr3:uid="{6AECE179-ACED-487A-BF0A-CC1AF8660ABF}" name="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enPesoCamas" displayName="ResumenPesoCamas" ref="A1:L7">
  <tableColumns count="12">
    <tableColumn id="1" xr3:uid="{00000000-0010-0000-0100-000001000000}" name="lombrices_agregadas_g"/>
    <tableColumn id="2" xr3:uid="{00000000-0010-0000-0100-000002000000}" name="n_lecturas"/>
    <tableColumn id="3" xr3:uid="{00000000-0010-0000-0100-000003000000}" name="peso_cama_5cm_g"/>
    <tableColumn id="4" xr3:uid="{00000000-0010-0000-0100-000004000000}" name="peso_cama_10cm_g"/>
    <tableColumn id="5" xr3:uid="{00000000-0010-0000-0100-000005000000}" name="humedad_prom_pct"/>
    <tableColumn id="6" xr3:uid="{00000000-0010-0000-0100-000006000000}" name="temperatura_prom_c"/>
    <tableColumn id="7" xr3:uid="{00000000-0010-0000-0100-000007000000}" name="conductividad_prom_us_cm"/>
    <tableColumn id="8" xr3:uid="{00000000-0010-0000-0100-000008000000}" name="ph_prom"/>
    <tableColumn id="9" xr3:uid="{00000000-0010-0000-0100-000009000000}" name="nitrogeno_prom_mg_kg"/>
    <tableColumn id="10" xr3:uid="{00000000-0010-0000-0100-00000A000000}" name="fosforo_prom_mg_kg"/>
    <tableColumn id="11" xr3:uid="{00000000-0010-0000-0100-00000B000000}" name="potasio_prom_mg_kg"/>
    <tableColumn id="12" xr3:uid="{00000000-0010-0000-0100-00000C000000}" name="salud_pro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otasExtraccion" displayName="NotasExtraccion" ref="A1:B7">
  <tableColumns count="2">
    <tableColumn id="1" xr3:uid="{00000000-0010-0000-0200-000001000000}" name="Campo"/>
    <tableColumn id="2" xr3:uid="{00000000-0010-0000-0200-000002000000}" name="Descrip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8"/>
  <sheetViews>
    <sheetView tabSelected="1" topLeftCell="U1" workbookViewId="0">
      <selection activeCell="AA5" sqref="AA5"/>
    </sheetView>
  </sheetViews>
  <sheetFormatPr defaultRowHeight="14.5" x14ac:dyDescent="0.35"/>
  <cols>
    <col min="1" max="1" width="21.81640625" customWidth="1"/>
    <col min="2" max="2" width="8.08984375" customWidth="1"/>
    <col min="3" max="3" width="18.1796875" customWidth="1"/>
    <col min="4" max="4" width="19.26953125" customWidth="1"/>
    <col min="5" max="5" width="27.08984375" customWidth="1"/>
    <col min="6" max="6" width="10.08984375" customWidth="1"/>
    <col min="7" max="7" width="8.90625" customWidth="1"/>
    <col min="8" max="8" width="14" customWidth="1"/>
    <col min="9" max="9" width="14.6328125" customWidth="1"/>
    <col min="10" max="10" width="12.7265625" customWidth="1"/>
    <col min="11" max="11" width="20.453125" customWidth="1"/>
    <col min="12" max="12" width="4.6328125" customWidth="1"/>
    <col min="13" max="13" width="16.90625" customWidth="1"/>
    <col min="14" max="14" width="14.81640625" customWidth="1"/>
    <col min="15" max="15" width="15.08984375" customWidth="1"/>
    <col min="16" max="17" width="9.6328125" customWidth="1"/>
    <col min="18" max="18" width="9.54296875" customWidth="1"/>
    <col min="19" max="19" width="13.81640625" customWidth="1"/>
    <col min="20" max="20" width="7" customWidth="1"/>
    <col min="21" max="21" width="48" customWidth="1"/>
    <col min="22" max="22" width="19.90625" customWidth="1"/>
    <col min="23" max="23" width="20.54296875" customWidth="1"/>
    <col min="24" max="24" width="26.26953125" customWidth="1"/>
    <col min="25" max="25" width="10.6328125" customWidth="1"/>
    <col min="26" max="26" width="22.90625" customWidth="1"/>
    <col min="27" max="27" width="20.7265625" customWidth="1"/>
    <col min="28" max="28" width="21" customWidth="1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t="s">
        <v>110</v>
      </c>
    </row>
    <row r="2" spans="1:29" ht="43.5" x14ac:dyDescent="0.35">
      <c r="A2" s="3">
        <v>0</v>
      </c>
      <c r="B2" s="3">
        <v>1</v>
      </c>
      <c r="C2" s="4">
        <v>920</v>
      </c>
      <c r="D2" s="4">
        <v>1411.7</v>
      </c>
      <c r="E2" s="3">
        <v>0</v>
      </c>
      <c r="F2" s="3">
        <v>15996</v>
      </c>
      <c r="G2" t="s">
        <v>28</v>
      </c>
      <c r="H2" s="4">
        <v>44.4</v>
      </c>
      <c r="I2" s="4">
        <v>26.2</v>
      </c>
      <c r="J2" s="4">
        <v>210</v>
      </c>
      <c r="K2" s="4">
        <v>1489</v>
      </c>
      <c r="L2" s="4">
        <v>5.7</v>
      </c>
      <c r="M2" s="4">
        <v>272</v>
      </c>
      <c r="N2" s="4">
        <v>675</v>
      </c>
      <c r="O2" s="4">
        <v>672</v>
      </c>
      <c r="P2" s="4">
        <v>0</v>
      </c>
      <c r="Q2" s="4">
        <v>4</v>
      </c>
      <c r="R2" s="4">
        <v>33.81</v>
      </c>
      <c r="S2" s="3">
        <v>1</v>
      </c>
      <c r="T2" s="4">
        <v>0.61</v>
      </c>
      <c r="U2" s="2" t="s">
        <v>29</v>
      </c>
      <c r="V2" s="4">
        <v>44.4</v>
      </c>
      <c r="W2" s="4">
        <v>26.2</v>
      </c>
      <c r="X2" s="4">
        <v>1489</v>
      </c>
      <c r="Y2" s="4">
        <v>5.7</v>
      </c>
      <c r="Z2" s="4">
        <v>272</v>
      </c>
      <c r="AA2" s="4">
        <v>675</v>
      </c>
      <c r="AB2" s="4">
        <v>672</v>
      </c>
      <c r="AC2" s="4">
        <v>1</v>
      </c>
    </row>
    <row r="3" spans="1:29" ht="43.5" x14ac:dyDescent="0.35">
      <c r="A3" s="3">
        <v>10</v>
      </c>
      <c r="B3" s="3">
        <v>1</v>
      </c>
      <c r="C3" s="4">
        <v>935</v>
      </c>
      <c r="D3" s="4">
        <v>1462</v>
      </c>
      <c r="E3" s="3">
        <v>10</v>
      </c>
      <c r="F3" s="3">
        <v>751607</v>
      </c>
      <c r="G3" t="s">
        <v>28</v>
      </c>
      <c r="H3" s="4">
        <v>58.8</v>
      </c>
      <c r="I3" s="4">
        <v>25.6</v>
      </c>
      <c r="J3" s="4">
        <v>209</v>
      </c>
      <c r="K3" s="4">
        <v>2046</v>
      </c>
      <c r="L3" s="4">
        <v>6.1</v>
      </c>
      <c r="M3" s="4">
        <v>388</v>
      </c>
      <c r="N3" s="4">
        <v>944</v>
      </c>
      <c r="O3" s="4">
        <v>943</v>
      </c>
      <c r="P3" s="4">
        <v>0.06</v>
      </c>
      <c r="Q3" s="4">
        <v>4</v>
      </c>
      <c r="R3" s="4">
        <v>33.880000000000003</v>
      </c>
      <c r="S3" s="3">
        <v>1</v>
      </c>
      <c r="T3" s="4">
        <v>0.63</v>
      </c>
      <c r="U3" s="2" t="s">
        <v>30</v>
      </c>
      <c r="V3" s="4">
        <v>58.8</v>
      </c>
      <c r="W3" s="4">
        <v>25.6</v>
      </c>
      <c r="X3" s="4">
        <v>2040</v>
      </c>
      <c r="Y3" s="4">
        <v>6.1</v>
      </c>
      <c r="Z3" s="4">
        <v>387</v>
      </c>
      <c r="AA3" s="4">
        <v>941</v>
      </c>
      <c r="AB3" s="4">
        <v>940</v>
      </c>
      <c r="AC3" s="4">
        <v>2</v>
      </c>
    </row>
    <row r="4" spans="1:29" ht="43.5" x14ac:dyDescent="0.35">
      <c r="A4" s="3">
        <v>10</v>
      </c>
      <c r="B4" s="3">
        <v>2</v>
      </c>
      <c r="C4" s="4">
        <v>935</v>
      </c>
      <c r="D4" s="4">
        <v>1462</v>
      </c>
      <c r="E4" s="3">
        <v>10</v>
      </c>
      <c r="F4" s="3">
        <v>135698</v>
      </c>
      <c r="G4" t="s">
        <v>28</v>
      </c>
      <c r="H4" s="4">
        <v>9.1999999999999993</v>
      </c>
      <c r="I4" s="4">
        <v>24.1</v>
      </c>
      <c r="J4" s="4">
        <v>208</v>
      </c>
      <c r="K4" s="4">
        <v>0</v>
      </c>
      <c r="L4" s="4">
        <v>7.4</v>
      </c>
      <c r="M4" s="4">
        <v>0</v>
      </c>
      <c r="N4" s="4">
        <v>0</v>
      </c>
      <c r="O4" s="4">
        <v>0</v>
      </c>
      <c r="P4" s="4">
        <v>359.88</v>
      </c>
      <c r="Q4" s="4">
        <v>4</v>
      </c>
      <c r="R4" s="4">
        <v>33.94</v>
      </c>
      <c r="S4" s="3">
        <v>1</v>
      </c>
      <c r="T4" s="4">
        <v>0.68</v>
      </c>
      <c r="U4" s="2" t="s">
        <v>31</v>
      </c>
      <c r="V4" s="4">
        <v>9.1999999999999993</v>
      </c>
      <c r="W4" s="4">
        <v>24.1</v>
      </c>
      <c r="X4" s="4">
        <v>0</v>
      </c>
      <c r="Y4" s="4">
        <v>7.4</v>
      </c>
      <c r="Z4" s="4">
        <v>0</v>
      </c>
      <c r="AA4" s="4">
        <v>0</v>
      </c>
      <c r="AB4" s="4">
        <v>0</v>
      </c>
      <c r="AC4" s="4">
        <v>3</v>
      </c>
    </row>
    <row r="5" spans="1:29" ht="43.5" x14ac:dyDescent="0.35">
      <c r="A5" s="3">
        <v>10</v>
      </c>
      <c r="B5" s="3">
        <v>3</v>
      </c>
      <c r="C5" s="4">
        <v>935</v>
      </c>
      <c r="D5" s="4">
        <v>1462</v>
      </c>
      <c r="E5" s="3">
        <v>10</v>
      </c>
      <c r="F5" s="3">
        <v>9252</v>
      </c>
      <c r="G5" t="s">
        <v>28</v>
      </c>
      <c r="H5" s="4">
        <v>67.599999999999994</v>
      </c>
      <c r="I5" s="4">
        <v>25.8</v>
      </c>
      <c r="J5" s="4">
        <v>208</v>
      </c>
      <c r="K5" s="4">
        <v>3002</v>
      </c>
      <c r="L5" s="4">
        <v>7</v>
      </c>
      <c r="M5" s="4">
        <v>588</v>
      </c>
      <c r="N5" s="4">
        <v>1405</v>
      </c>
      <c r="O5" s="4">
        <v>1408</v>
      </c>
      <c r="P5" s="4">
        <v>0.06</v>
      </c>
      <c r="Q5" s="4">
        <v>4.0599999999999996</v>
      </c>
      <c r="R5" s="4">
        <v>33.880000000000003</v>
      </c>
      <c r="S5" s="3">
        <v>1</v>
      </c>
      <c r="T5" s="4">
        <v>0.63</v>
      </c>
      <c r="U5" s="2" t="s">
        <v>32</v>
      </c>
      <c r="V5" s="4">
        <v>67.599999999999994</v>
      </c>
      <c r="W5" s="4">
        <v>25.8</v>
      </c>
      <c r="X5" s="4">
        <v>3002</v>
      </c>
      <c r="Y5" s="4">
        <v>7</v>
      </c>
      <c r="Z5" s="4">
        <v>588</v>
      </c>
      <c r="AA5" s="4">
        <v>1405</v>
      </c>
      <c r="AB5" s="4">
        <v>1408</v>
      </c>
      <c r="AC5" s="4">
        <v>4</v>
      </c>
    </row>
    <row r="6" spans="1:29" ht="43.5" x14ac:dyDescent="0.35">
      <c r="A6" s="3">
        <v>10</v>
      </c>
      <c r="B6" s="3">
        <v>4</v>
      </c>
      <c r="C6" s="4">
        <v>935</v>
      </c>
      <c r="D6" s="4">
        <v>1462</v>
      </c>
      <c r="E6" s="3">
        <v>10</v>
      </c>
      <c r="F6" s="3">
        <v>3666</v>
      </c>
      <c r="G6" t="s">
        <v>28</v>
      </c>
      <c r="H6" s="4">
        <v>60.1</v>
      </c>
      <c r="I6" s="4">
        <v>26.1</v>
      </c>
      <c r="J6" s="4">
        <v>209</v>
      </c>
      <c r="K6" s="4">
        <v>3217</v>
      </c>
      <c r="L6" s="4">
        <v>7.9</v>
      </c>
      <c r="M6" s="4">
        <v>632</v>
      </c>
      <c r="N6" s="4">
        <v>1508</v>
      </c>
      <c r="O6" s="4">
        <v>1512</v>
      </c>
      <c r="P6" s="4">
        <v>359.94</v>
      </c>
      <c r="Q6" s="4">
        <v>4</v>
      </c>
      <c r="R6" s="4">
        <v>33.880000000000003</v>
      </c>
      <c r="S6" s="3">
        <v>1</v>
      </c>
      <c r="T6" s="4">
        <v>0.62</v>
      </c>
      <c r="U6" s="2" t="s">
        <v>33</v>
      </c>
      <c r="V6" s="4">
        <v>60.4</v>
      </c>
      <c r="W6" s="4">
        <v>26.2</v>
      </c>
      <c r="X6" s="4">
        <v>3217</v>
      </c>
      <c r="Y6" s="4">
        <v>7.9</v>
      </c>
      <c r="Z6" s="4">
        <v>632</v>
      </c>
      <c r="AA6" s="4">
        <v>1508</v>
      </c>
      <c r="AB6" s="4">
        <v>1512</v>
      </c>
      <c r="AC6" s="4">
        <v>5</v>
      </c>
    </row>
    <row r="7" spans="1:29" ht="43.5" x14ac:dyDescent="0.35">
      <c r="A7" s="3">
        <v>10</v>
      </c>
      <c r="B7" s="3">
        <v>5</v>
      </c>
      <c r="C7" s="4">
        <v>935</v>
      </c>
      <c r="D7" s="4">
        <v>1462</v>
      </c>
      <c r="E7" s="3">
        <v>10</v>
      </c>
      <c r="F7" s="3">
        <v>3663</v>
      </c>
      <c r="G7" t="s">
        <v>28</v>
      </c>
      <c r="H7" s="4">
        <v>79.099999999999994</v>
      </c>
      <c r="I7" s="4">
        <v>25.2</v>
      </c>
      <c r="J7" s="4">
        <v>210</v>
      </c>
      <c r="K7" s="4">
        <v>3647</v>
      </c>
      <c r="L7" s="4">
        <v>8</v>
      </c>
      <c r="M7" s="4">
        <v>722</v>
      </c>
      <c r="N7" s="4">
        <v>1716</v>
      </c>
      <c r="O7" s="4">
        <v>1721</v>
      </c>
      <c r="P7" s="4">
        <v>359.94</v>
      </c>
      <c r="Q7" s="4">
        <v>4.0599999999999996</v>
      </c>
      <c r="R7" s="4">
        <v>34</v>
      </c>
      <c r="S7" s="3">
        <v>1</v>
      </c>
      <c r="T7" s="4">
        <v>0.64</v>
      </c>
      <c r="U7" s="2" t="s">
        <v>34</v>
      </c>
      <c r="V7" s="4">
        <v>80.2</v>
      </c>
      <c r="W7" s="4">
        <v>24.8</v>
      </c>
      <c r="X7" s="4">
        <v>3647</v>
      </c>
      <c r="Y7" s="4">
        <v>7.8</v>
      </c>
      <c r="Z7" s="4">
        <v>722</v>
      </c>
      <c r="AA7" s="4">
        <v>1716</v>
      </c>
      <c r="AB7" s="4">
        <v>1721</v>
      </c>
      <c r="AC7" s="4">
        <v>6</v>
      </c>
    </row>
    <row r="8" spans="1:29" ht="43.5" x14ac:dyDescent="0.35">
      <c r="A8" s="3">
        <v>20</v>
      </c>
      <c r="B8" s="3">
        <v>1</v>
      </c>
      <c r="C8" s="4">
        <v>985</v>
      </c>
      <c r="D8" s="4">
        <v>1462</v>
      </c>
      <c r="E8" s="3">
        <v>20</v>
      </c>
      <c r="F8" s="3">
        <v>14842</v>
      </c>
      <c r="G8" t="s">
        <v>28</v>
      </c>
      <c r="H8" s="4">
        <v>84.2</v>
      </c>
      <c r="I8" s="4">
        <v>26.2</v>
      </c>
      <c r="J8" s="4">
        <v>210</v>
      </c>
      <c r="K8" s="4">
        <v>3629</v>
      </c>
      <c r="L8" s="4">
        <v>8.4</v>
      </c>
      <c r="M8" s="4">
        <v>718</v>
      </c>
      <c r="N8" s="4">
        <v>1707</v>
      </c>
      <c r="O8" s="4">
        <v>1713</v>
      </c>
      <c r="P8" s="4">
        <v>0</v>
      </c>
      <c r="Q8" s="4">
        <v>4.0599999999999996</v>
      </c>
      <c r="R8" s="4">
        <v>33.880000000000003</v>
      </c>
      <c r="S8" s="3">
        <v>1</v>
      </c>
      <c r="T8" s="4">
        <v>0.61</v>
      </c>
      <c r="U8" s="2" t="s">
        <v>35</v>
      </c>
      <c r="V8" s="4">
        <v>84.2</v>
      </c>
      <c r="W8" s="4">
        <v>26.2</v>
      </c>
      <c r="X8" s="4">
        <v>3629</v>
      </c>
      <c r="Y8" s="4">
        <v>8.4</v>
      </c>
      <c r="Z8" s="4">
        <v>718</v>
      </c>
      <c r="AA8" s="4">
        <v>1707</v>
      </c>
      <c r="AB8" s="4">
        <v>1713</v>
      </c>
      <c r="AC8" s="4">
        <v>7</v>
      </c>
    </row>
    <row r="9" spans="1:29" ht="43.5" x14ac:dyDescent="0.35">
      <c r="A9" s="3">
        <v>20</v>
      </c>
      <c r="B9" s="3">
        <v>2</v>
      </c>
      <c r="C9" s="4">
        <v>985</v>
      </c>
      <c r="D9" s="4">
        <v>1462</v>
      </c>
      <c r="E9" s="3">
        <v>20</v>
      </c>
      <c r="F9" s="3">
        <v>1426</v>
      </c>
      <c r="G9" t="s">
        <v>28</v>
      </c>
      <c r="H9" s="4">
        <v>64.599999999999994</v>
      </c>
      <c r="I9" s="4">
        <v>26</v>
      </c>
      <c r="J9" s="4">
        <v>208</v>
      </c>
      <c r="K9" s="4">
        <v>2825</v>
      </c>
      <c r="L9" s="4">
        <v>8</v>
      </c>
      <c r="M9" s="4">
        <v>551</v>
      </c>
      <c r="N9" s="4">
        <v>1319</v>
      </c>
      <c r="O9" s="4">
        <v>1322</v>
      </c>
      <c r="P9" s="4">
        <v>0</v>
      </c>
      <c r="Q9" s="4">
        <v>4.13</v>
      </c>
      <c r="R9" s="4">
        <v>33.880000000000003</v>
      </c>
      <c r="S9" s="3">
        <v>1</v>
      </c>
      <c r="T9" s="4">
        <v>0.62</v>
      </c>
      <c r="U9" s="2" t="s">
        <v>36</v>
      </c>
      <c r="V9" s="4">
        <v>64.599999999999994</v>
      </c>
      <c r="W9" s="4">
        <v>25.9</v>
      </c>
      <c r="X9" s="4">
        <v>2825</v>
      </c>
      <c r="Y9" s="4">
        <v>7.9</v>
      </c>
      <c r="Z9" s="4">
        <v>551</v>
      </c>
      <c r="AA9" s="4">
        <v>1319</v>
      </c>
      <c r="AB9" s="4">
        <v>1322</v>
      </c>
      <c r="AC9" s="4">
        <v>8</v>
      </c>
    </row>
    <row r="10" spans="1:29" ht="43.5" x14ac:dyDescent="0.35">
      <c r="A10" s="3">
        <v>20</v>
      </c>
      <c r="B10" s="3">
        <v>3</v>
      </c>
      <c r="C10" s="4">
        <v>985</v>
      </c>
      <c r="D10" s="4">
        <v>1462</v>
      </c>
      <c r="E10" s="3">
        <v>20</v>
      </c>
      <c r="F10" s="3">
        <v>3663</v>
      </c>
      <c r="G10" t="s">
        <v>28</v>
      </c>
      <c r="H10" s="4">
        <v>69.8</v>
      </c>
      <c r="I10" s="4">
        <v>26.1</v>
      </c>
      <c r="J10" s="4">
        <v>209</v>
      </c>
      <c r="K10" s="4">
        <v>3143</v>
      </c>
      <c r="L10" s="4">
        <v>7.9</v>
      </c>
      <c r="M10" s="4">
        <v>617</v>
      </c>
      <c r="N10" s="4">
        <v>1473</v>
      </c>
      <c r="O10" s="4">
        <v>1476</v>
      </c>
      <c r="P10" s="4">
        <v>0</v>
      </c>
      <c r="Q10" s="4">
        <v>4.0599999999999996</v>
      </c>
      <c r="R10" s="4">
        <v>33.81</v>
      </c>
      <c r="S10" s="3">
        <v>1</v>
      </c>
      <c r="T10" s="4">
        <v>0.62</v>
      </c>
      <c r="U10" s="2" t="s">
        <v>37</v>
      </c>
      <c r="V10" s="4">
        <v>69.400000000000006</v>
      </c>
      <c r="W10" s="4">
        <v>26</v>
      </c>
      <c r="X10" s="4">
        <v>3143</v>
      </c>
      <c r="Y10" s="4">
        <v>7.7</v>
      </c>
      <c r="Z10" s="4">
        <v>617</v>
      </c>
      <c r="AA10" s="4">
        <v>1473</v>
      </c>
      <c r="AB10" s="4">
        <v>1476</v>
      </c>
      <c r="AC10" s="4">
        <v>9</v>
      </c>
    </row>
    <row r="11" spans="1:29" ht="43.5" x14ac:dyDescent="0.35">
      <c r="A11" s="3">
        <v>20</v>
      </c>
      <c r="B11" s="3">
        <v>4</v>
      </c>
      <c r="C11" s="4">
        <v>985</v>
      </c>
      <c r="D11" s="4">
        <v>1462</v>
      </c>
      <c r="E11" s="3">
        <v>20</v>
      </c>
      <c r="F11" s="3">
        <v>2545</v>
      </c>
      <c r="G11" t="s">
        <v>28</v>
      </c>
      <c r="H11" s="4">
        <v>68.099999999999994</v>
      </c>
      <c r="I11" s="4">
        <v>25.7</v>
      </c>
      <c r="J11" s="4">
        <v>208</v>
      </c>
      <c r="K11" s="4">
        <v>2931</v>
      </c>
      <c r="L11" s="4">
        <v>7.8</v>
      </c>
      <c r="M11" s="4">
        <v>573</v>
      </c>
      <c r="N11" s="4">
        <v>1370</v>
      </c>
      <c r="O11" s="4">
        <v>1373</v>
      </c>
      <c r="P11" s="4">
        <v>359.88</v>
      </c>
      <c r="Q11" s="4">
        <v>3.75</v>
      </c>
      <c r="R11" s="4">
        <v>33.75</v>
      </c>
      <c r="S11" s="3">
        <v>1</v>
      </c>
      <c r="T11" s="4">
        <v>0.63</v>
      </c>
      <c r="U11" s="2" t="s">
        <v>38</v>
      </c>
      <c r="V11" s="4">
        <v>68.099999999999994</v>
      </c>
      <c r="W11" s="4">
        <v>25.7</v>
      </c>
      <c r="X11" s="4">
        <v>2931</v>
      </c>
      <c r="Y11" s="4">
        <v>7.8</v>
      </c>
      <c r="Z11" s="4">
        <v>573</v>
      </c>
      <c r="AA11" s="4">
        <v>1370</v>
      </c>
      <c r="AB11" s="4">
        <v>1373</v>
      </c>
      <c r="AC11" s="4">
        <v>10</v>
      </c>
    </row>
    <row r="12" spans="1:29" ht="43.5" x14ac:dyDescent="0.35">
      <c r="A12" s="3">
        <v>20</v>
      </c>
      <c r="B12" s="3">
        <v>5</v>
      </c>
      <c r="C12" s="4">
        <v>985</v>
      </c>
      <c r="D12" s="4">
        <v>1462</v>
      </c>
      <c r="E12" s="3">
        <v>20</v>
      </c>
      <c r="F12" s="3">
        <v>12613</v>
      </c>
      <c r="G12" t="s">
        <v>39</v>
      </c>
      <c r="H12" s="4">
        <v>94</v>
      </c>
      <c r="I12" s="4">
        <v>27.6</v>
      </c>
      <c r="J12" s="4">
        <v>209</v>
      </c>
      <c r="K12" s="4">
        <v>4257</v>
      </c>
      <c r="L12" s="4">
        <v>8.4</v>
      </c>
      <c r="M12" s="4">
        <v>850</v>
      </c>
      <c r="N12" s="4">
        <v>1999</v>
      </c>
      <c r="O12" s="4">
        <v>1999</v>
      </c>
      <c r="P12" s="4">
        <v>359.81</v>
      </c>
      <c r="Q12" s="4">
        <v>3.88</v>
      </c>
      <c r="R12" s="4">
        <v>33.69</v>
      </c>
      <c r="S12" s="3">
        <v>1</v>
      </c>
      <c r="T12" s="4">
        <v>0.56999999999999995</v>
      </c>
      <c r="U12" s="2" t="s">
        <v>40</v>
      </c>
      <c r="V12" s="4">
        <v>93.7</v>
      </c>
      <c r="W12" s="4">
        <v>27.6</v>
      </c>
      <c r="X12" s="4">
        <v>4334</v>
      </c>
      <c r="Y12" s="4">
        <v>8.4</v>
      </c>
      <c r="Z12" s="4">
        <v>866</v>
      </c>
      <c r="AA12" s="4">
        <v>1999</v>
      </c>
      <c r="AB12" s="4">
        <v>1999</v>
      </c>
      <c r="AC12" s="4">
        <v>11</v>
      </c>
    </row>
    <row r="13" spans="1:29" ht="43.5" x14ac:dyDescent="0.35">
      <c r="A13" s="3">
        <v>30</v>
      </c>
      <c r="B13" s="3">
        <v>1</v>
      </c>
      <c r="C13" s="4">
        <v>1037</v>
      </c>
      <c r="D13" s="4">
        <v>1547</v>
      </c>
      <c r="E13" s="3">
        <v>30</v>
      </c>
      <c r="F13" s="3">
        <v>8130</v>
      </c>
      <c r="G13" t="s">
        <v>39</v>
      </c>
      <c r="H13" s="4">
        <v>65.2</v>
      </c>
      <c r="I13" s="4">
        <v>27</v>
      </c>
      <c r="J13" s="4">
        <v>209</v>
      </c>
      <c r="K13" s="4">
        <v>3475</v>
      </c>
      <c r="L13" s="4">
        <v>7.9</v>
      </c>
      <c r="M13" s="4">
        <v>686</v>
      </c>
      <c r="N13" s="4">
        <v>1633</v>
      </c>
      <c r="O13" s="4">
        <v>1638</v>
      </c>
      <c r="P13" s="4">
        <v>0</v>
      </c>
      <c r="Q13" s="4">
        <v>2.81</v>
      </c>
      <c r="R13" s="4">
        <v>34.5</v>
      </c>
      <c r="S13" s="3">
        <v>1</v>
      </c>
      <c r="T13" s="4">
        <v>0.59</v>
      </c>
      <c r="U13" s="2" t="s">
        <v>41</v>
      </c>
      <c r="V13" s="4">
        <v>65.2</v>
      </c>
      <c r="W13" s="4">
        <v>26.9</v>
      </c>
      <c r="X13" s="4">
        <v>3475</v>
      </c>
      <c r="Y13" s="4">
        <v>7.6</v>
      </c>
      <c r="Z13" s="4">
        <v>686</v>
      </c>
      <c r="AA13" s="4">
        <v>1633</v>
      </c>
      <c r="AB13" s="4">
        <v>1638</v>
      </c>
      <c r="AC13" s="4">
        <v>12</v>
      </c>
    </row>
    <row r="14" spans="1:29" ht="43.5" x14ac:dyDescent="0.35">
      <c r="A14" s="3">
        <v>30</v>
      </c>
      <c r="B14" s="3">
        <v>2</v>
      </c>
      <c r="C14" s="4">
        <v>1037</v>
      </c>
      <c r="D14" s="4">
        <v>1547</v>
      </c>
      <c r="E14" s="3">
        <v>30</v>
      </c>
      <c r="F14" s="3">
        <v>5911</v>
      </c>
      <c r="G14" t="s">
        <v>28</v>
      </c>
      <c r="H14" s="4">
        <v>88.8</v>
      </c>
      <c r="I14" s="4">
        <v>26.8</v>
      </c>
      <c r="J14" s="4">
        <v>209</v>
      </c>
      <c r="K14" s="4">
        <v>3659</v>
      </c>
      <c r="L14" s="4">
        <v>8.5</v>
      </c>
      <c r="M14" s="4">
        <v>725</v>
      </c>
      <c r="N14" s="4">
        <v>1721</v>
      </c>
      <c r="O14" s="4">
        <v>1727</v>
      </c>
      <c r="P14" s="4">
        <v>359.94</v>
      </c>
      <c r="Q14" s="4">
        <v>2.75</v>
      </c>
      <c r="R14" s="4">
        <v>34.44</v>
      </c>
      <c r="S14" s="3">
        <v>1</v>
      </c>
      <c r="T14" s="4">
        <v>0.6</v>
      </c>
      <c r="U14" s="2" t="s">
        <v>42</v>
      </c>
      <c r="V14" s="4">
        <v>88.5</v>
      </c>
      <c r="W14" s="4">
        <v>26.6</v>
      </c>
      <c r="X14" s="4">
        <v>3659</v>
      </c>
      <c r="Y14" s="4">
        <v>8.5</v>
      </c>
      <c r="Z14" s="4">
        <v>725</v>
      </c>
      <c r="AA14" s="4">
        <v>1721</v>
      </c>
      <c r="AB14" s="4">
        <v>1727</v>
      </c>
      <c r="AC14" s="4">
        <v>13</v>
      </c>
    </row>
    <row r="15" spans="1:29" ht="43.5" x14ac:dyDescent="0.35">
      <c r="A15" s="3">
        <v>30</v>
      </c>
      <c r="B15" s="3">
        <v>3</v>
      </c>
      <c r="C15" s="4">
        <v>1037</v>
      </c>
      <c r="D15" s="4">
        <v>1547</v>
      </c>
      <c r="E15" s="3">
        <v>30</v>
      </c>
      <c r="F15" s="3">
        <v>1427</v>
      </c>
      <c r="G15" t="s">
        <v>39</v>
      </c>
      <c r="H15" s="4">
        <v>94.5</v>
      </c>
      <c r="I15" s="4">
        <v>27.1</v>
      </c>
      <c r="J15" s="4">
        <v>208</v>
      </c>
      <c r="K15" s="4">
        <v>5070</v>
      </c>
      <c r="L15" s="4">
        <v>7.7</v>
      </c>
      <c r="M15" s="4">
        <v>1019</v>
      </c>
      <c r="N15" s="4">
        <v>1999</v>
      </c>
      <c r="O15" s="4">
        <v>1999</v>
      </c>
      <c r="P15" s="4">
        <v>0</v>
      </c>
      <c r="Q15" s="4">
        <v>2.75</v>
      </c>
      <c r="R15" s="4">
        <v>34.5</v>
      </c>
      <c r="S15" s="3">
        <v>1</v>
      </c>
      <c r="T15" s="4">
        <v>0.59</v>
      </c>
      <c r="U15" s="2" t="s">
        <v>43</v>
      </c>
      <c r="V15" s="4">
        <v>95</v>
      </c>
      <c r="W15" s="4">
        <v>26.9</v>
      </c>
      <c r="X15" s="4">
        <v>5070</v>
      </c>
      <c r="Y15" s="4">
        <v>7.6</v>
      </c>
      <c r="Z15" s="4">
        <v>1019</v>
      </c>
      <c r="AA15" s="4">
        <v>1999</v>
      </c>
      <c r="AB15" s="4">
        <v>1999</v>
      </c>
      <c r="AC15" s="4">
        <v>14</v>
      </c>
    </row>
    <row r="16" spans="1:29" ht="43.5" x14ac:dyDescent="0.35">
      <c r="A16" s="3">
        <v>30</v>
      </c>
      <c r="B16" s="3">
        <v>4</v>
      </c>
      <c r="C16" s="4">
        <v>1037</v>
      </c>
      <c r="D16" s="4">
        <v>1547</v>
      </c>
      <c r="E16" s="3">
        <v>30</v>
      </c>
      <c r="F16" s="3">
        <v>7031</v>
      </c>
      <c r="G16" t="s">
        <v>39</v>
      </c>
      <c r="H16" s="4">
        <v>95.1</v>
      </c>
      <c r="I16" s="4">
        <v>27</v>
      </c>
      <c r="J16" s="4">
        <v>210</v>
      </c>
      <c r="K16" s="4">
        <v>5380</v>
      </c>
      <c r="L16" s="4">
        <v>7</v>
      </c>
      <c r="M16" s="4">
        <v>1084</v>
      </c>
      <c r="N16" s="4">
        <v>1999</v>
      </c>
      <c r="O16" s="4">
        <v>1999</v>
      </c>
      <c r="P16" s="4">
        <v>359.88</v>
      </c>
      <c r="Q16" s="4">
        <v>2.75</v>
      </c>
      <c r="R16" s="4">
        <v>34.69</v>
      </c>
      <c r="S16" s="3">
        <v>1</v>
      </c>
      <c r="T16" s="4">
        <v>0.59</v>
      </c>
      <c r="U16" s="2" t="s">
        <v>44</v>
      </c>
      <c r="V16" s="4">
        <v>94</v>
      </c>
      <c r="W16" s="4">
        <v>27</v>
      </c>
      <c r="X16" s="4">
        <v>5419</v>
      </c>
      <c r="Y16" s="4">
        <v>7</v>
      </c>
      <c r="Z16" s="4">
        <v>1092</v>
      </c>
      <c r="AA16" s="4">
        <v>1999</v>
      </c>
      <c r="AB16" s="4">
        <v>1999</v>
      </c>
      <c r="AC16" s="4">
        <v>15</v>
      </c>
    </row>
    <row r="17" spans="1:29" ht="43.5" x14ac:dyDescent="0.35">
      <c r="A17" s="3">
        <v>30</v>
      </c>
      <c r="B17" s="3">
        <v>5</v>
      </c>
      <c r="C17" s="4">
        <v>1037</v>
      </c>
      <c r="D17" s="4">
        <v>1547</v>
      </c>
      <c r="E17" s="3">
        <v>30</v>
      </c>
      <c r="F17" s="3">
        <v>4783</v>
      </c>
      <c r="G17" t="s">
        <v>39</v>
      </c>
      <c r="H17" s="4">
        <v>95.1</v>
      </c>
      <c r="I17" s="4">
        <v>27.1</v>
      </c>
      <c r="J17" s="4">
        <v>208</v>
      </c>
      <c r="K17" s="4">
        <v>5341</v>
      </c>
      <c r="L17" s="4">
        <v>5.0999999999999996</v>
      </c>
      <c r="M17" s="4">
        <v>1076</v>
      </c>
      <c r="N17" s="4">
        <v>1999</v>
      </c>
      <c r="O17" s="4">
        <v>1999</v>
      </c>
      <c r="P17" s="4">
        <v>0</v>
      </c>
      <c r="Q17" s="4">
        <v>2.69</v>
      </c>
      <c r="R17" s="4">
        <v>34.75</v>
      </c>
      <c r="S17" s="3">
        <v>1</v>
      </c>
      <c r="T17" s="4">
        <v>0.59</v>
      </c>
      <c r="U17" s="2" t="s">
        <v>45</v>
      </c>
      <c r="V17" s="4">
        <v>95.1</v>
      </c>
      <c r="W17" s="4">
        <v>26.8</v>
      </c>
      <c r="X17" s="4">
        <v>5341</v>
      </c>
      <c r="Y17" s="4">
        <v>5.0999999999999996</v>
      </c>
      <c r="Z17" s="4">
        <v>1076</v>
      </c>
      <c r="AA17" s="4">
        <v>1999</v>
      </c>
      <c r="AB17" s="4">
        <v>1999</v>
      </c>
      <c r="AC17" s="4">
        <v>16</v>
      </c>
    </row>
    <row r="18" spans="1:29" ht="43.5" x14ac:dyDescent="0.35">
      <c r="A18" s="3">
        <v>40</v>
      </c>
      <c r="B18" s="3">
        <v>1</v>
      </c>
      <c r="C18" s="4">
        <v>1119.0999999999999</v>
      </c>
      <c r="D18" s="4">
        <v>1580</v>
      </c>
      <c r="E18" s="3">
        <v>40</v>
      </c>
      <c r="F18" s="3">
        <v>7032</v>
      </c>
      <c r="G18" t="s">
        <v>39</v>
      </c>
      <c r="H18" s="4">
        <v>100</v>
      </c>
      <c r="I18" s="4">
        <v>27.4</v>
      </c>
      <c r="J18" s="4">
        <v>211</v>
      </c>
      <c r="K18" s="4">
        <v>6592</v>
      </c>
      <c r="L18" s="4">
        <v>9</v>
      </c>
      <c r="M18" s="4">
        <v>1337</v>
      </c>
      <c r="N18" s="4">
        <v>1999</v>
      </c>
      <c r="O18" s="4">
        <v>1999</v>
      </c>
      <c r="P18" s="4">
        <v>359.94</v>
      </c>
      <c r="Q18" s="4">
        <v>1</v>
      </c>
      <c r="R18" s="4">
        <v>34.25</v>
      </c>
      <c r="S18" s="3">
        <v>1</v>
      </c>
      <c r="T18" s="4">
        <v>0.57999999999999996</v>
      </c>
      <c r="U18" s="2" t="s">
        <v>46</v>
      </c>
      <c r="V18" s="4">
        <v>100</v>
      </c>
      <c r="W18" s="4">
        <v>27.4</v>
      </c>
      <c r="X18" s="4">
        <v>6592</v>
      </c>
      <c r="Y18" s="4">
        <v>9</v>
      </c>
      <c r="Z18" s="4">
        <v>1337</v>
      </c>
      <c r="AA18" s="4">
        <v>1999</v>
      </c>
      <c r="AB18" s="4">
        <v>1999</v>
      </c>
      <c r="AC18" s="4">
        <v>17</v>
      </c>
    </row>
    <row r="19" spans="1:29" ht="43.5" x14ac:dyDescent="0.35">
      <c r="A19" s="3">
        <v>40</v>
      </c>
      <c r="B19" s="3">
        <v>2</v>
      </c>
      <c r="C19" s="4">
        <v>1119.0999999999999</v>
      </c>
      <c r="D19" s="4">
        <v>1580</v>
      </c>
      <c r="E19" s="3">
        <v>40</v>
      </c>
      <c r="F19" s="3">
        <v>2545</v>
      </c>
      <c r="G19" t="s">
        <v>39</v>
      </c>
      <c r="H19" s="4">
        <v>94.5</v>
      </c>
      <c r="I19" s="4">
        <v>27.2</v>
      </c>
      <c r="J19" s="4">
        <v>209</v>
      </c>
      <c r="K19" s="4">
        <v>4218</v>
      </c>
      <c r="L19" s="4">
        <v>7.6</v>
      </c>
      <c r="M19" s="4">
        <v>841</v>
      </c>
      <c r="N19" s="4">
        <v>1991</v>
      </c>
      <c r="O19" s="4">
        <v>1999</v>
      </c>
      <c r="P19" s="4">
        <v>359.88</v>
      </c>
      <c r="Q19" s="4">
        <v>1</v>
      </c>
      <c r="R19" s="4">
        <v>34.19</v>
      </c>
      <c r="S19" s="3">
        <v>1</v>
      </c>
      <c r="T19" s="4">
        <v>0.57999999999999996</v>
      </c>
      <c r="U19" s="2" t="s">
        <v>47</v>
      </c>
      <c r="V19" s="4">
        <v>95.1</v>
      </c>
      <c r="W19" s="4">
        <v>27</v>
      </c>
      <c r="X19" s="4">
        <v>4218</v>
      </c>
      <c r="Y19" s="4">
        <v>7.6</v>
      </c>
      <c r="Z19" s="4">
        <v>841</v>
      </c>
      <c r="AA19" s="4">
        <v>1991</v>
      </c>
      <c r="AB19" s="4">
        <v>1999</v>
      </c>
      <c r="AC19" s="4">
        <v>18</v>
      </c>
    </row>
    <row r="20" spans="1:29" ht="43.5" x14ac:dyDescent="0.35">
      <c r="A20" s="3">
        <v>40</v>
      </c>
      <c r="B20" s="3">
        <v>3</v>
      </c>
      <c r="C20" s="4">
        <v>1119.0999999999999</v>
      </c>
      <c r="D20" s="4">
        <v>1580</v>
      </c>
      <c r="E20" s="3">
        <v>40</v>
      </c>
      <c r="F20" s="3">
        <v>5908</v>
      </c>
      <c r="G20" t="s">
        <v>39</v>
      </c>
      <c r="H20" s="4">
        <v>100</v>
      </c>
      <c r="I20" s="4">
        <v>27.1</v>
      </c>
      <c r="J20" s="4">
        <v>208</v>
      </c>
      <c r="K20" s="4">
        <v>6592</v>
      </c>
      <c r="L20" s="4">
        <v>8.8000000000000007</v>
      </c>
      <c r="M20" s="4">
        <v>1337</v>
      </c>
      <c r="N20" s="4">
        <v>1999</v>
      </c>
      <c r="O20" s="4">
        <v>1999</v>
      </c>
      <c r="P20" s="4">
        <v>0.06</v>
      </c>
      <c r="Q20" s="4">
        <v>0.88</v>
      </c>
      <c r="R20" s="4">
        <v>34.19</v>
      </c>
      <c r="S20" s="3">
        <v>1</v>
      </c>
      <c r="T20" s="4">
        <v>0.59</v>
      </c>
      <c r="U20" s="2" t="s">
        <v>48</v>
      </c>
      <c r="V20" s="4">
        <v>100</v>
      </c>
      <c r="W20" s="4">
        <v>26.8</v>
      </c>
      <c r="X20" s="4">
        <v>6592</v>
      </c>
      <c r="Y20" s="4">
        <v>8.8000000000000007</v>
      </c>
      <c r="Z20" s="4">
        <v>1337</v>
      </c>
      <c r="AA20" s="4">
        <v>1999</v>
      </c>
      <c r="AB20" s="4">
        <v>1999</v>
      </c>
      <c r="AC20" s="4">
        <v>19</v>
      </c>
    </row>
    <row r="21" spans="1:29" ht="43.5" x14ac:dyDescent="0.35">
      <c r="A21" s="3">
        <v>40</v>
      </c>
      <c r="B21" s="3">
        <v>4</v>
      </c>
      <c r="C21" s="4">
        <v>1119.0999999999999</v>
      </c>
      <c r="D21" s="4">
        <v>1580</v>
      </c>
      <c r="E21" s="3">
        <v>40</v>
      </c>
      <c r="F21" s="3">
        <v>3667</v>
      </c>
      <c r="G21" t="s">
        <v>28</v>
      </c>
      <c r="H21" s="4">
        <v>100</v>
      </c>
      <c r="I21" s="4">
        <v>26.5</v>
      </c>
      <c r="J21" s="4">
        <v>210</v>
      </c>
      <c r="K21" s="4">
        <v>6039</v>
      </c>
      <c r="L21" s="4">
        <v>8.3000000000000007</v>
      </c>
      <c r="M21" s="4">
        <v>1221</v>
      </c>
      <c r="N21" s="4">
        <v>1999</v>
      </c>
      <c r="O21" s="4">
        <v>1999</v>
      </c>
      <c r="P21" s="4">
        <v>359.94</v>
      </c>
      <c r="Q21" s="4">
        <v>0.88</v>
      </c>
      <c r="R21" s="4">
        <v>34.25</v>
      </c>
      <c r="S21" s="3">
        <v>1</v>
      </c>
      <c r="T21" s="4">
        <v>0.61</v>
      </c>
      <c r="U21" s="2" t="s">
        <v>49</v>
      </c>
      <c r="V21" s="4">
        <v>100</v>
      </c>
      <c r="W21" s="4">
        <v>26.5</v>
      </c>
      <c r="X21" s="4">
        <v>6039</v>
      </c>
      <c r="Y21" s="4">
        <v>8.3000000000000007</v>
      </c>
      <c r="Z21" s="4">
        <v>1221</v>
      </c>
      <c r="AA21" s="4">
        <v>1999</v>
      </c>
      <c r="AB21" s="4">
        <v>1999</v>
      </c>
      <c r="AC21" s="4">
        <v>20</v>
      </c>
    </row>
    <row r="22" spans="1:29" ht="43.5" x14ac:dyDescent="0.35">
      <c r="A22" s="3">
        <v>40</v>
      </c>
      <c r="B22" s="3">
        <v>5</v>
      </c>
      <c r="C22" s="4">
        <v>1119.0999999999999</v>
      </c>
      <c r="D22" s="4">
        <v>1580</v>
      </c>
      <c r="E22" s="3">
        <v>40</v>
      </c>
      <c r="F22" s="3">
        <v>33897</v>
      </c>
      <c r="G22" t="s">
        <v>39</v>
      </c>
      <c r="H22" s="4">
        <v>100</v>
      </c>
      <c r="I22" s="4">
        <v>27.4</v>
      </c>
      <c r="J22" s="4">
        <v>207</v>
      </c>
      <c r="K22" s="4">
        <v>6118</v>
      </c>
      <c r="L22" s="4">
        <v>7.2</v>
      </c>
      <c r="M22" s="4">
        <v>1238</v>
      </c>
      <c r="N22" s="4">
        <v>1999</v>
      </c>
      <c r="O22" s="4">
        <v>1999</v>
      </c>
      <c r="P22" s="4">
        <v>0.06</v>
      </c>
      <c r="Q22" s="4">
        <v>0.88</v>
      </c>
      <c r="R22" s="4">
        <v>34.31</v>
      </c>
      <c r="S22" s="3">
        <v>1</v>
      </c>
      <c r="T22" s="4">
        <v>0.57999999999999996</v>
      </c>
      <c r="U22" s="2" t="s">
        <v>50</v>
      </c>
      <c r="V22" s="4">
        <v>100</v>
      </c>
      <c r="W22" s="4">
        <v>27.4</v>
      </c>
      <c r="X22" s="4">
        <v>6118</v>
      </c>
      <c r="Y22" s="4">
        <v>7.2</v>
      </c>
      <c r="Z22" s="4">
        <v>1238</v>
      </c>
      <c r="AA22" s="4">
        <v>1999</v>
      </c>
      <c r="AB22" s="4">
        <v>1999</v>
      </c>
      <c r="AC22" s="4">
        <v>21</v>
      </c>
    </row>
    <row r="23" spans="1:29" ht="43.5" x14ac:dyDescent="0.35">
      <c r="A23" s="3">
        <v>50</v>
      </c>
      <c r="B23" s="3">
        <v>1</v>
      </c>
      <c r="C23" s="4">
        <v>1222</v>
      </c>
      <c r="D23" s="4">
        <v>1610</v>
      </c>
      <c r="E23" s="3">
        <v>50</v>
      </c>
      <c r="F23" s="3">
        <v>4779</v>
      </c>
      <c r="G23" t="s">
        <v>39</v>
      </c>
      <c r="H23" s="4">
        <v>91.6</v>
      </c>
      <c r="I23" s="4">
        <v>26.9</v>
      </c>
      <c r="J23" s="4">
        <v>209</v>
      </c>
      <c r="K23" s="4">
        <v>3874</v>
      </c>
      <c r="L23" s="4">
        <v>8.3000000000000007</v>
      </c>
      <c r="M23" s="4">
        <v>770</v>
      </c>
      <c r="N23" s="4">
        <v>1825</v>
      </c>
      <c r="O23" s="4">
        <v>1832</v>
      </c>
      <c r="P23" s="4">
        <v>0</v>
      </c>
      <c r="Q23" s="4">
        <v>0.94</v>
      </c>
      <c r="R23" s="4">
        <v>33.94</v>
      </c>
      <c r="S23" s="3">
        <v>1</v>
      </c>
      <c r="T23" s="4">
        <v>0.59</v>
      </c>
      <c r="U23" s="2" t="s">
        <v>51</v>
      </c>
      <c r="V23" s="4">
        <v>91.6</v>
      </c>
      <c r="W23" s="4">
        <v>26.9</v>
      </c>
      <c r="X23" s="4">
        <v>3874</v>
      </c>
      <c r="Y23" s="4">
        <v>8.3000000000000007</v>
      </c>
      <c r="Z23" s="4">
        <v>770</v>
      </c>
      <c r="AA23" s="4">
        <v>1825</v>
      </c>
      <c r="AB23" s="4">
        <v>1832</v>
      </c>
      <c r="AC23" s="4">
        <v>22</v>
      </c>
    </row>
    <row r="24" spans="1:29" ht="43.5" x14ac:dyDescent="0.35">
      <c r="A24" s="3">
        <v>50</v>
      </c>
      <c r="B24" s="3">
        <v>2</v>
      </c>
      <c r="C24" s="4">
        <v>1222</v>
      </c>
      <c r="D24" s="4">
        <v>1610</v>
      </c>
      <c r="E24" s="3">
        <v>50</v>
      </c>
      <c r="F24" s="3">
        <v>2545</v>
      </c>
      <c r="G24" t="s">
        <v>39</v>
      </c>
      <c r="H24" s="4">
        <v>100</v>
      </c>
      <c r="I24" s="4">
        <v>27.7</v>
      </c>
      <c r="J24" s="4">
        <v>210</v>
      </c>
      <c r="K24" s="4">
        <v>7026</v>
      </c>
      <c r="L24" s="4">
        <v>9</v>
      </c>
      <c r="M24" s="4">
        <v>1427</v>
      </c>
      <c r="N24" s="4">
        <v>1999</v>
      </c>
      <c r="O24" s="4">
        <v>1999</v>
      </c>
      <c r="P24" s="4">
        <v>359.94</v>
      </c>
      <c r="Q24" s="4">
        <v>0.88</v>
      </c>
      <c r="R24" s="4">
        <v>34.130000000000003</v>
      </c>
      <c r="S24" s="3">
        <v>1</v>
      </c>
      <c r="T24" s="4">
        <v>0.56999999999999995</v>
      </c>
      <c r="U24" s="2" t="s">
        <v>52</v>
      </c>
      <c r="V24" s="4">
        <v>100</v>
      </c>
      <c r="W24" s="4">
        <v>27.7</v>
      </c>
      <c r="X24" s="4">
        <v>7026</v>
      </c>
      <c r="Y24" s="4">
        <v>9</v>
      </c>
      <c r="Z24" s="4">
        <v>1427</v>
      </c>
      <c r="AA24" s="4">
        <v>1999</v>
      </c>
      <c r="AB24" s="4">
        <v>1999</v>
      </c>
      <c r="AC24" s="4">
        <v>23</v>
      </c>
    </row>
    <row r="25" spans="1:29" ht="43.5" x14ac:dyDescent="0.35">
      <c r="A25" s="3">
        <v>50</v>
      </c>
      <c r="B25" s="3">
        <v>3</v>
      </c>
      <c r="C25" s="4">
        <v>1222</v>
      </c>
      <c r="D25" s="4">
        <v>1610</v>
      </c>
      <c r="E25" s="3">
        <v>50</v>
      </c>
      <c r="F25" s="3">
        <v>3665</v>
      </c>
      <c r="G25" t="s">
        <v>28</v>
      </c>
      <c r="H25" s="4">
        <v>100</v>
      </c>
      <c r="I25" s="4">
        <v>26.7</v>
      </c>
      <c r="J25" s="4">
        <v>211</v>
      </c>
      <c r="K25" s="4">
        <v>5961</v>
      </c>
      <c r="L25" s="4">
        <v>8.8000000000000007</v>
      </c>
      <c r="M25" s="4">
        <v>1205</v>
      </c>
      <c r="N25" s="4">
        <v>1999</v>
      </c>
      <c r="O25" s="4">
        <v>1999</v>
      </c>
      <c r="P25" s="4">
        <v>359.94</v>
      </c>
      <c r="Q25" s="4">
        <v>0.88</v>
      </c>
      <c r="R25" s="4">
        <v>34.130000000000003</v>
      </c>
      <c r="S25" s="3">
        <v>1</v>
      </c>
      <c r="T25" s="4">
        <v>0.6</v>
      </c>
      <c r="U25" s="2" t="s">
        <v>53</v>
      </c>
      <c r="V25" s="4">
        <v>100</v>
      </c>
      <c r="W25" s="4">
        <v>26.2</v>
      </c>
      <c r="X25" s="4">
        <v>5961</v>
      </c>
      <c r="Y25" s="4">
        <v>8.5</v>
      </c>
      <c r="Z25" s="4">
        <v>1205</v>
      </c>
      <c r="AA25" s="4">
        <v>1999</v>
      </c>
      <c r="AB25" s="4">
        <v>1999</v>
      </c>
      <c r="AC25" s="4">
        <v>24</v>
      </c>
    </row>
    <row r="26" spans="1:29" ht="43.5" x14ac:dyDescent="0.35">
      <c r="A26" s="3">
        <v>50</v>
      </c>
      <c r="B26" s="3">
        <v>4</v>
      </c>
      <c r="C26" s="4">
        <v>1222</v>
      </c>
      <c r="D26" s="4">
        <v>1610</v>
      </c>
      <c r="E26" s="3">
        <v>50</v>
      </c>
      <c r="F26" s="3">
        <v>3666</v>
      </c>
      <c r="G26" t="s">
        <v>28</v>
      </c>
      <c r="H26" s="4">
        <v>100</v>
      </c>
      <c r="I26" s="4">
        <v>26.9</v>
      </c>
      <c r="J26" s="4">
        <v>210</v>
      </c>
      <c r="K26" s="4">
        <v>5767</v>
      </c>
      <c r="L26" s="4">
        <v>8.8000000000000007</v>
      </c>
      <c r="M26" s="4">
        <v>1165</v>
      </c>
      <c r="N26" s="4">
        <v>1999</v>
      </c>
      <c r="O26" s="4">
        <v>1999</v>
      </c>
      <c r="P26" s="4">
        <v>359.88</v>
      </c>
      <c r="Q26" s="4">
        <v>0.88</v>
      </c>
      <c r="R26" s="4">
        <v>34.130000000000003</v>
      </c>
      <c r="S26" s="3">
        <v>1</v>
      </c>
      <c r="T26" s="4">
        <v>0.59</v>
      </c>
      <c r="U26" s="2" t="s">
        <v>54</v>
      </c>
      <c r="V26" s="4">
        <v>100</v>
      </c>
      <c r="W26" s="4">
        <v>26.5</v>
      </c>
      <c r="X26" s="4">
        <v>5767</v>
      </c>
      <c r="Y26" s="4">
        <v>8.6999999999999993</v>
      </c>
      <c r="Z26" s="4">
        <v>1165</v>
      </c>
      <c r="AA26" s="4">
        <v>1999</v>
      </c>
      <c r="AB26" s="4">
        <v>1999</v>
      </c>
      <c r="AC26" s="4">
        <v>25</v>
      </c>
    </row>
    <row r="27" spans="1:29" ht="43.5" x14ac:dyDescent="0.35">
      <c r="A27" s="9">
        <v>50</v>
      </c>
      <c r="B27" s="9">
        <v>5</v>
      </c>
      <c r="C27" s="10">
        <v>1222</v>
      </c>
      <c r="D27" s="10">
        <v>1610</v>
      </c>
      <c r="E27" s="10">
        <v>50</v>
      </c>
      <c r="F27" s="9">
        <v>3662</v>
      </c>
      <c r="G27" s="9" t="s">
        <v>39</v>
      </c>
      <c r="H27" s="10">
        <v>100</v>
      </c>
      <c r="I27" s="10">
        <v>26.9</v>
      </c>
      <c r="J27" s="10">
        <v>210</v>
      </c>
      <c r="K27" s="10">
        <v>5864</v>
      </c>
      <c r="L27" s="10">
        <v>8.8000000000000007</v>
      </c>
      <c r="M27" s="10">
        <v>1185</v>
      </c>
      <c r="N27" s="10">
        <v>1999</v>
      </c>
      <c r="O27" s="10">
        <v>1999</v>
      </c>
      <c r="P27" s="10">
        <v>0</v>
      </c>
      <c r="Q27" s="10">
        <v>0.88</v>
      </c>
      <c r="R27" s="10">
        <v>34.130000000000003</v>
      </c>
      <c r="S27" s="10">
        <v>1</v>
      </c>
      <c r="T27" s="9">
        <v>0.59</v>
      </c>
      <c r="U27" s="9" t="s">
        <v>109</v>
      </c>
      <c r="V27" s="10">
        <v>100</v>
      </c>
      <c r="W27" s="10">
        <v>26.9</v>
      </c>
      <c r="X27" s="10">
        <v>5864</v>
      </c>
      <c r="Y27" s="10">
        <v>8.8000000000000007</v>
      </c>
      <c r="Z27" s="10">
        <v>1185</v>
      </c>
      <c r="AA27" s="10">
        <v>1999</v>
      </c>
      <c r="AB27" s="10">
        <v>1999</v>
      </c>
      <c r="AC27" s="13">
        <v>26</v>
      </c>
    </row>
    <row r="28" spans="1:29" x14ac:dyDescent="0.35">
      <c r="A28" s="3"/>
      <c r="B28" s="3"/>
      <c r="C28" s="4"/>
      <c r="D28" s="4"/>
      <c r="E28" s="3"/>
      <c r="F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3"/>
      <c r="T28" s="4"/>
      <c r="U28" s="2"/>
      <c r="V28" s="4"/>
      <c r="W28" s="4"/>
      <c r="X28" s="4"/>
      <c r="Y28" s="4"/>
      <c r="Z28" s="4"/>
      <c r="AA28" s="4"/>
      <c r="AB28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workbookViewId="0"/>
  </sheetViews>
  <sheetFormatPr defaultRowHeight="14.5" x14ac:dyDescent="0.35"/>
  <cols>
    <col min="1" max="1" width="21.81640625" customWidth="1"/>
    <col min="2" max="2" width="11.1796875" customWidth="1"/>
    <col min="3" max="3" width="18.1796875" customWidth="1"/>
    <col min="4" max="4" width="19.26953125" customWidth="1"/>
    <col min="5" max="5" width="19.453125" customWidth="1"/>
    <col min="6" max="6" width="20.08984375" customWidth="1"/>
    <col min="7" max="7" width="25.81640625" customWidth="1"/>
    <col min="8" max="8" width="10.08984375" customWidth="1"/>
    <col min="9" max="9" width="22.36328125" customWidth="1"/>
    <col min="10" max="10" width="20.1796875" customWidth="1"/>
    <col min="11" max="11" width="20.453125" customWidth="1"/>
    <col min="12" max="12" width="12.453125" customWidth="1"/>
    <col min="13" max="13" width="22.7265625" customWidth="1"/>
    <col min="14" max="14" width="23.81640625" customWidth="1"/>
  </cols>
  <sheetData>
    <row r="1" spans="1:14" ht="29" x14ac:dyDescent="0.35">
      <c r="A1" s="5" t="s">
        <v>0</v>
      </c>
      <c r="B1" s="5" t="s">
        <v>55</v>
      </c>
      <c r="C1" s="5" t="s">
        <v>2</v>
      </c>
      <c r="D1" s="5" t="s">
        <v>3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61</v>
      </c>
      <c r="K1" s="5" t="s">
        <v>62</v>
      </c>
      <c r="L1" s="5" t="s">
        <v>63</v>
      </c>
      <c r="M1" s="5" t="s">
        <v>64</v>
      </c>
      <c r="N1" s="5" t="s">
        <v>65</v>
      </c>
    </row>
    <row r="2" spans="1:14" x14ac:dyDescent="0.35">
      <c r="A2" s="3">
        <v>0</v>
      </c>
      <c r="B2" s="3">
        <v>1</v>
      </c>
      <c r="C2" s="4">
        <v>920</v>
      </c>
      <c r="D2" s="4">
        <v>1411.7</v>
      </c>
      <c r="E2" s="4">
        <v>44.4</v>
      </c>
      <c r="F2" s="4">
        <v>26.2</v>
      </c>
      <c r="G2" s="4">
        <v>1489</v>
      </c>
      <c r="H2" s="4">
        <v>5.7</v>
      </c>
      <c r="I2" s="4">
        <v>272</v>
      </c>
      <c r="J2" s="4">
        <v>675</v>
      </c>
      <c r="K2" s="4">
        <v>672</v>
      </c>
      <c r="L2" s="4">
        <v>0.61</v>
      </c>
      <c r="M2" s="4">
        <f t="shared" ref="M2:M7" si="0">C2-$C$2</f>
        <v>0</v>
      </c>
      <c r="N2" s="4">
        <f t="shared" ref="N2:N7" si="1">IF(D2="","",D2-$D$2)</f>
        <v>0</v>
      </c>
    </row>
    <row r="3" spans="1:14" x14ac:dyDescent="0.35">
      <c r="A3" s="3">
        <v>10</v>
      </c>
      <c r="B3" s="3">
        <v>5</v>
      </c>
      <c r="C3" s="4">
        <v>935</v>
      </c>
      <c r="D3" s="4">
        <v>1462</v>
      </c>
      <c r="E3" s="4">
        <v>54.96</v>
      </c>
      <c r="F3" s="4">
        <v>25.36</v>
      </c>
      <c r="G3" s="4">
        <v>2382.4</v>
      </c>
      <c r="H3" s="4">
        <v>7.28</v>
      </c>
      <c r="I3" s="4">
        <v>466</v>
      </c>
      <c r="J3" s="4">
        <v>1114.5999999999999</v>
      </c>
      <c r="K3" s="4">
        <v>1116.8</v>
      </c>
      <c r="L3" s="4">
        <v>0.64</v>
      </c>
      <c r="M3" s="4">
        <f t="shared" si="0"/>
        <v>15</v>
      </c>
      <c r="N3" s="4">
        <f t="shared" si="1"/>
        <v>50.299999999999955</v>
      </c>
    </row>
    <row r="4" spans="1:14" x14ac:dyDescent="0.35">
      <c r="A4" s="3">
        <v>20</v>
      </c>
      <c r="B4" s="3">
        <v>5</v>
      </c>
      <c r="C4" s="4">
        <v>985</v>
      </c>
      <c r="D4" s="4">
        <v>1462</v>
      </c>
      <c r="E4" s="4">
        <v>76.14</v>
      </c>
      <c r="F4" s="4">
        <v>26.32</v>
      </c>
      <c r="G4" s="4">
        <v>3357</v>
      </c>
      <c r="H4" s="4">
        <v>8.1</v>
      </c>
      <c r="I4" s="4">
        <v>661.8</v>
      </c>
      <c r="J4" s="4">
        <v>1573.6</v>
      </c>
      <c r="K4" s="4">
        <v>1576.6</v>
      </c>
      <c r="L4" s="4">
        <v>0.61</v>
      </c>
      <c r="M4" s="4">
        <f t="shared" si="0"/>
        <v>65</v>
      </c>
      <c r="N4" s="4">
        <f t="shared" si="1"/>
        <v>50.299999999999955</v>
      </c>
    </row>
    <row r="5" spans="1:14" x14ac:dyDescent="0.35">
      <c r="A5" s="3">
        <v>30</v>
      </c>
      <c r="B5" s="3">
        <v>5</v>
      </c>
      <c r="C5" s="4">
        <v>1037</v>
      </c>
      <c r="D5" s="4">
        <v>1547</v>
      </c>
      <c r="E5" s="4">
        <v>87.74</v>
      </c>
      <c r="F5" s="4">
        <v>27</v>
      </c>
      <c r="G5" s="4">
        <v>4585</v>
      </c>
      <c r="H5" s="4">
        <v>7.24</v>
      </c>
      <c r="I5" s="4">
        <v>918</v>
      </c>
      <c r="J5" s="4">
        <v>1870.2</v>
      </c>
      <c r="K5" s="4">
        <v>1872.4</v>
      </c>
      <c r="L5" s="4">
        <v>0.59199999999999997</v>
      </c>
      <c r="M5" s="4">
        <f t="shared" si="0"/>
        <v>117</v>
      </c>
      <c r="N5" s="4">
        <f t="shared" si="1"/>
        <v>135.29999999999995</v>
      </c>
    </row>
    <row r="6" spans="1:14" x14ac:dyDescent="0.35">
      <c r="A6" s="3">
        <v>40</v>
      </c>
      <c r="B6" s="3">
        <v>5</v>
      </c>
      <c r="C6" s="4">
        <v>1119.0999999999999</v>
      </c>
      <c r="D6" s="4">
        <v>1580</v>
      </c>
      <c r="E6" s="4">
        <v>98.9</v>
      </c>
      <c r="F6" s="4">
        <v>27.12</v>
      </c>
      <c r="G6" s="4">
        <v>5911.8</v>
      </c>
      <c r="H6" s="4">
        <v>8.18</v>
      </c>
      <c r="I6" s="4">
        <v>1194.8</v>
      </c>
      <c r="J6" s="4">
        <v>1997.4</v>
      </c>
      <c r="K6" s="4">
        <v>1999</v>
      </c>
      <c r="L6" s="4">
        <v>0.58799999999999997</v>
      </c>
      <c r="M6" s="4">
        <f t="shared" si="0"/>
        <v>199.09999999999991</v>
      </c>
      <c r="N6" s="4">
        <f t="shared" si="1"/>
        <v>168.29999999999995</v>
      </c>
    </row>
    <row r="7" spans="1:14" x14ac:dyDescent="0.35">
      <c r="A7" s="7">
        <v>50</v>
      </c>
      <c r="B7" s="7">
        <v>5</v>
      </c>
      <c r="C7" s="7">
        <v>1222</v>
      </c>
      <c r="D7" s="7">
        <v>1610</v>
      </c>
      <c r="E7" s="7">
        <v>98.32</v>
      </c>
      <c r="F7" s="7">
        <v>27.02</v>
      </c>
      <c r="G7" s="7">
        <v>5698.4</v>
      </c>
      <c r="H7" s="7">
        <v>8.74</v>
      </c>
      <c r="I7" s="7">
        <v>1150.4000000000001</v>
      </c>
      <c r="J7" s="7">
        <v>1964.2</v>
      </c>
      <c r="K7" s="7">
        <v>1965.6</v>
      </c>
      <c r="L7" s="7">
        <v>0.58799999999999997</v>
      </c>
      <c r="M7" s="7">
        <f t="shared" si="0"/>
        <v>302</v>
      </c>
      <c r="N7" s="7">
        <f t="shared" si="1"/>
        <v>198.29999999999995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5" x14ac:dyDescent="0.35"/>
  <cols>
    <col min="1" max="1" width="18.453125" customWidth="1"/>
    <col min="2" max="2" width="70" customWidth="1"/>
  </cols>
  <sheetData>
    <row r="1" spans="1:2" x14ac:dyDescent="0.35">
      <c r="A1" s="6" t="s">
        <v>66</v>
      </c>
      <c r="B1" s="6" t="s">
        <v>67</v>
      </c>
    </row>
    <row r="2" spans="1:2" x14ac:dyDescent="0.35">
      <c r="A2" t="s">
        <v>68</v>
      </c>
      <c r="B2" s="2" t="s">
        <v>69</v>
      </c>
    </row>
    <row r="3" spans="1:2" ht="29" x14ac:dyDescent="0.35">
      <c r="A3" t="s">
        <v>70</v>
      </c>
      <c r="B3" s="2" t="s">
        <v>71</v>
      </c>
    </row>
    <row r="4" spans="1:2" ht="29" x14ac:dyDescent="0.35">
      <c r="A4" t="s">
        <v>72</v>
      </c>
      <c r="B4" s="2" t="s">
        <v>73</v>
      </c>
    </row>
    <row r="5" spans="1:2" x14ac:dyDescent="0.35">
      <c r="A5" t="s">
        <v>74</v>
      </c>
      <c r="B5" s="2" t="s">
        <v>75</v>
      </c>
    </row>
    <row r="6" spans="1:2" ht="29" x14ac:dyDescent="0.35">
      <c r="A6" t="s">
        <v>76</v>
      </c>
      <c r="B6" s="2" t="s">
        <v>77</v>
      </c>
    </row>
    <row r="7" spans="1:2" ht="29" x14ac:dyDescent="0.35">
      <c r="A7" t="s">
        <v>78</v>
      </c>
      <c r="B7" s="2" t="s">
        <v>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workbookViewId="0"/>
  </sheetViews>
  <sheetFormatPr defaultRowHeight="14.5" x14ac:dyDescent="0.35"/>
  <cols>
    <col min="1" max="2" width="34" customWidth="1"/>
    <col min="4" max="6" width="24" customWidth="1"/>
  </cols>
  <sheetData>
    <row r="1" spans="1:8" ht="16" customHeight="1" x14ac:dyDescent="0.35">
      <c r="A1" s="11" t="s">
        <v>80</v>
      </c>
      <c r="B1" s="12"/>
      <c r="C1" s="12"/>
      <c r="D1" s="12"/>
      <c r="E1" s="12"/>
      <c r="F1" s="12"/>
      <c r="G1" s="12"/>
      <c r="H1" s="12"/>
    </row>
    <row r="3" spans="1:8" x14ac:dyDescent="0.35">
      <c r="A3" s="8" t="s">
        <v>81</v>
      </c>
      <c r="B3" s="8" t="s">
        <v>67</v>
      </c>
      <c r="D3" s="8" t="s">
        <v>66</v>
      </c>
      <c r="E3" s="8" t="s">
        <v>82</v>
      </c>
      <c r="F3" s="8" t="s">
        <v>83</v>
      </c>
    </row>
    <row r="4" spans="1:8" x14ac:dyDescent="0.35">
      <c r="A4" s="2" t="s">
        <v>84</v>
      </c>
      <c r="B4" s="2" t="s">
        <v>85</v>
      </c>
      <c r="D4" s="2" t="s">
        <v>0</v>
      </c>
      <c r="E4" s="2">
        <v>50</v>
      </c>
      <c r="F4" s="2" t="s">
        <v>86</v>
      </c>
    </row>
    <row r="5" spans="1:8" ht="43.5" x14ac:dyDescent="0.35">
      <c r="A5" s="2" t="s">
        <v>87</v>
      </c>
      <c r="B5" s="2" t="s">
        <v>88</v>
      </c>
      <c r="D5" s="2" t="s">
        <v>1</v>
      </c>
      <c r="E5" s="2">
        <v>5</v>
      </c>
      <c r="F5" s="2"/>
    </row>
    <row r="6" spans="1:8" ht="58" x14ac:dyDescent="0.35">
      <c r="A6" s="2" t="s">
        <v>89</v>
      </c>
      <c r="B6" s="2" t="s">
        <v>90</v>
      </c>
      <c r="D6" s="2" t="s">
        <v>2</v>
      </c>
      <c r="E6" s="2">
        <v>1222</v>
      </c>
      <c r="F6" s="2" t="s">
        <v>86</v>
      </c>
    </row>
    <row r="7" spans="1:8" ht="29" x14ac:dyDescent="0.35">
      <c r="A7" s="2" t="s">
        <v>91</v>
      </c>
      <c r="B7" s="2" t="s">
        <v>92</v>
      </c>
      <c r="D7" s="2" t="s">
        <v>3</v>
      </c>
      <c r="E7" s="2">
        <v>1610</v>
      </c>
      <c r="F7" s="2" t="s">
        <v>93</v>
      </c>
    </row>
    <row r="8" spans="1:8" ht="43.5" x14ac:dyDescent="0.35">
      <c r="A8" s="2" t="s">
        <v>94</v>
      </c>
      <c r="B8" s="2" t="s">
        <v>95</v>
      </c>
      <c r="D8" s="2" t="s">
        <v>6</v>
      </c>
      <c r="E8" s="2" t="s">
        <v>39</v>
      </c>
      <c r="F8" s="2" t="s">
        <v>96</v>
      </c>
    </row>
    <row r="9" spans="1:8" ht="43.5" x14ac:dyDescent="0.35">
      <c r="A9" s="2" t="s">
        <v>97</v>
      </c>
      <c r="B9" s="2" t="s">
        <v>98</v>
      </c>
      <c r="D9" s="2" t="s">
        <v>7</v>
      </c>
      <c r="E9" s="2">
        <v>100</v>
      </c>
      <c r="F9" s="2" t="s">
        <v>99</v>
      </c>
    </row>
    <row r="10" spans="1:8" ht="29" x14ac:dyDescent="0.35">
      <c r="A10" s="2" t="s">
        <v>100</v>
      </c>
      <c r="B10" s="2" t="s">
        <v>101</v>
      </c>
      <c r="D10" s="2" t="s">
        <v>8</v>
      </c>
      <c r="E10" s="2">
        <v>26.9</v>
      </c>
      <c r="F10" s="2" t="s">
        <v>102</v>
      </c>
    </row>
    <row r="11" spans="1:8" x14ac:dyDescent="0.35">
      <c r="D11" s="2" t="s">
        <v>9</v>
      </c>
      <c r="E11" s="2">
        <v>210</v>
      </c>
      <c r="F11" s="2" t="s">
        <v>103</v>
      </c>
    </row>
    <row r="12" spans="1:8" x14ac:dyDescent="0.35">
      <c r="D12" s="2" t="s">
        <v>10</v>
      </c>
      <c r="E12" s="2">
        <v>5864</v>
      </c>
      <c r="F12" s="2" t="s">
        <v>104</v>
      </c>
    </row>
    <row r="13" spans="1:8" x14ac:dyDescent="0.35">
      <c r="D13" s="2" t="s">
        <v>11</v>
      </c>
      <c r="E13" s="2">
        <v>8.8000000000000007</v>
      </c>
      <c r="F13" s="2"/>
    </row>
    <row r="14" spans="1:8" x14ac:dyDescent="0.35">
      <c r="D14" s="2" t="s">
        <v>12</v>
      </c>
      <c r="E14" s="2">
        <v>1185</v>
      </c>
      <c r="F14" s="2" t="s">
        <v>105</v>
      </c>
    </row>
    <row r="15" spans="1:8" x14ac:dyDescent="0.35">
      <c r="D15" s="2" t="s">
        <v>13</v>
      </c>
      <c r="E15" s="2">
        <v>1999</v>
      </c>
      <c r="F15" s="2" t="s">
        <v>105</v>
      </c>
    </row>
    <row r="16" spans="1:8" x14ac:dyDescent="0.35">
      <c r="D16" s="2" t="s">
        <v>14</v>
      </c>
      <c r="E16" s="2">
        <v>1999</v>
      </c>
      <c r="F16" s="2" t="s">
        <v>105</v>
      </c>
    </row>
    <row r="17" spans="4:6" ht="29" x14ac:dyDescent="0.35">
      <c r="D17" s="2" t="s">
        <v>15</v>
      </c>
      <c r="E17" s="2">
        <v>0</v>
      </c>
      <c r="F17" s="2" t="s">
        <v>106</v>
      </c>
    </row>
    <row r="18" spans="4:6" x14ac:dyDescent="0.35">
      <c r="D18" s="2" t="s">
        <v>16</v>
      </c>
      <c r="E18" s="2">
        <v>0.88</v>
      </c>
      <c r="F18" s="2" t="s">
        <v>86</v>
      </c>
    </row>
    <row r="19" spans="4:6" x14ac:dyDescent="0.35">
      <c r="D19" s="2" t="s">
        <v>17</v>
      </c>
      <c r="E19" s="2">
        <v>34.130000000000003</v>
      </c>
      <c r="F19" s="2" t="s">
        <v>86</v>
      </c>
    </row>
    <row r="20" spans="4:6" x14ac:dyDescent="0.35">
      <c r="D20" s="2" t="s">
        <v>18</v>
      </c>
      <c r="E20" s="2">
        <v>1</v>
      </c>
      <c r="F20" s="2" t="s">
        <v>107</v>
      </c>
    </row>
    <row r="21" spans="4:6" x14ac:dyDescent="0.35">
      <c r="D21" s="2" t="s">
        <v>19</v>
      </c>
      <c r="E21" s="2">
        <v>0.59</v>
      </c>
      <c r="F21" s="2" t="s">
        <v>108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Datos extraidos</vt:lpstr>
      <vt:lpstr>Resumen por peso</vt:lpstr>
      <vt:lpstr>Notas</vt:lpstr>
      <vt:lpstr>Estimacion 50g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 Betancur vasquez - Docente IUE</cp:lastModifiedBy>
  <dcterms:modified xsi:type="dcterms:W3CDTF">2026-06-27T20:09:32Z</dcterms:modified>
</cp:coreProperties>
</file>